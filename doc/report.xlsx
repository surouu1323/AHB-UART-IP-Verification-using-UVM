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thiet_ket_vi_mach\ictc\"/>
    </mc:Choice>
  </mc:AlternateContent>
  <xr:revisionPtr revIDLastSave="0" documentId="13_ncr:1_{4531670E-FA4C-4455-8F58-B1AB6FCF9BCF}" xr6:coauthVersionLast="47" xr6:coauthVersionMax="47" xr10:uidLastSave="{00000000-0000-0000-0000-000000000000}"/>
  <bookViews>
    <workbookView xWindow="-405" yWindow="1830" windowWidth="28110" windowHeight="13485" activeTab="3" xr2:uid="{00000000-000D-0000-FFFF-FFFF00000000}"/>
  </bookViews>
  <sheets>
    <sheet name="Vplan" sheetId="1" r:id="rId1"/>
    <sheet name="Schedule" sheetId="2" r:id="rId2"/>
    <sheet name="Env" sheetId="3" r:id="rId3"/>
    <sheet name="Regres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<sst xmlns="http://schemas.openxmlformats.org/spreadsheetml/2006/main" count="177" uniqueCount="104">
  <si>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</si>
  <si>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</si>
  <si>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</si>
  <si>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</si>
  <si>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</si>
  <si>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</si>
  <si>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</si>
  <si>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</si>
  <si>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</si>
  <si>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</si>
  <si>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</si>
  <si>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</si>
  <si>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</si>
  <si>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</si>
  <si>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</si>
  <si>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</si>
  <si>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t>High</t>
  </si>
  <si>
    <t>Directed</t>
  </si>
  <si>
    <t>Read and Write value check</t>
  </si>
  <si>
    <t>Reset on the fly check</t>
  </si>
  <si>
    <r>
      <t xml:space="preserve">1. Wait for reset and clock stable
2. Read value of 6 register (MDR, DLL, DLH, LCR, IER, FSR)
</t>
    </r>
    <r>
      <rPr>
        <b/>
        <sz val="11"/>
        <color theme="1"/>
        <rFont val="Calibri"/>
      </rPr>
      <t>Pass condition</t>
    </r>
    <r>
      <rPr>
        <sz val="11"/>
        <color theme="1"/>
        <rFont val="Calibri"/>
      </rPr>
      <t>: Check value matching with default value mention in RTL spec</t>
    </r>
  </si>
  <si>
    <r>
      <t xml:space="preserve">1. Wait for reset and clock stable
2. Write random value to 6 register (MDR, DLL, DLH, LCR, IER, FSR).
3. Read back all 6 registers
</t>
    </r>
    <r>
      <rPr>
        <b/>
        <sz val="11"/>
        <color theme="1"/>
        <rFont val="Calibri"/>
      </rPr>
      <t>Pass condition</t>
    </r>
    <r>
      <rPr>
        <sz val="11"/>
        <color theme="1"/>
        <rFont val="Calibri"/>
      </rPr>
      <t>: Check read value matching with write value</t>
    </r>
  </si>
  <si>
    <r>
      <t xml:space="preserve">1. Wait for reset and clock stable
2. Write / Read value to/ from register.
3. Assert hresetn (low) in the middle of the AHB frame.
4. De-assert hresetn and read all 6 register.
</t>
    </r>
    <r>
      <rPr>
        <b/>
        <sz val="11"/>
        <color theme="1"/>
        <rFont val="Calibri"/>
      </rPr>
      <t>Pass condition</t>
    </r>
    <r>
      <rPr>
        <sz val="11"/>
        <color theme="1"/>
        <rFont val="Calibri"/>
      </rPr>
      <t>: All register value return to default</t>
    </r>
  </si>
  <si>
    <t>Reserved region</t>
  </si>
  <si>
    <t>reserved_reg_test</t>
  </si>
  <si>
    <t>rw_reg_test</t>
  </si>
  <si>
    <t>default_value_reg_test</t>
  </si>
  <si>
    <t>rst_otf_reg_test</t>
  </si>
  <si>
    <t>AHB Protocol</t>
  </si>
  <si>
    <t>Half-Duplex Config Tests</t>
  </si>
  <si>
    <t>Exhaustive Sweep</t>
  </si>
  <si>
    <t>uart_half_tx_seq_cfg_test</t>
  </si>
  <si>
    <t>uart_half_rx_seq_cfg_test</t>
  </si>
  <si>
    <t>Random Cfg Test</t>
  </si>
  <si>
    <t>Randomize configuration to test dynamic changes.</t>
  </si>
  <si>
    <t>uart_half_tx_random_cfg_test</t>
  </si>
  <si>
    <t>uart_half_rx_random_cfg_test</t>
  </si>
  <si>
    <t>Full-Duplex Config Tests</t>
  </si>
  <si>
    <t>Full-Duplex Sweep</t>
  </si>
  <si>
    <t>Sequential sweep of all valid configs while LHS &amp; RHS transmit at the same time.</t>
  </si>
  <si>
    <t>uart_full_duplex_seq_cfg_test</t>
  </si>
  <si>
    <t>Full-Duplex Random</t>
  </si>
  <si>
    <t>Randomized configurations with simultaneous bidirectional traffic.</t>
  </si>
  <si>
    <t>uart_full_duplex_random_cfg_test</t>
  </si>
  <si>
    <t>Baud Rate Jump</t>
  </si>
  <si>
    <t>uart_corner_baud_jump_test</t>
  </si>
  <si>
    <t>Fifo Test</t>
  </si>
  <si>
    <t xml:space="preserve"> </t>
  </si>
  <si>
    <t>Interrupt Test</t>
  </si>
  <si>
    <t>Parity</t>
  </si>
  <si>
    <t>Tx FIFO Empty</t>
  </si>
  <si>
    <t>Tx FIFO Full</t>
  </si>
  <si>
    <t>Rx FIFO Empty</t>
  </si>
  <si>
    <t>Rx FIFO Full</t>
  </si>
  <si>
    <t>Multi - interrupt</t>
  </si>
  <si>
    <t>Reset function on the fly</t>
  </si>
  <si>
    <t>Immediate transition from lowest (2400) to highest (115200) baud rate and vice versa.</t>
  </si>
  <si>
    <t>Let UART running and sending data =&gt; reset =&gt; check register data after reset =&gt; reconfig UART =&gt; is UART still function</t>
  </si>
  <si>
    <t>Enable bit Parity check =&gt; check interrupt</t>
  </si>
  <si>
    <t>Combinations</t>
  </si>
  <si>
    <r>
      <rPr>
        <b/>
        <sz val="11"/>
        <color theme="1"/>
        <rFont val="Calibri"/>
        <family val="2"/>
        <scheme val="major"/>
      </rPr>
      <t>Parity Modes (3):</t>
    </r>
    <r>
      <rPr>
        <sz val="11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2"/>
        <scheme val="major"/>
      </rPr>
      <t>ODD</t>
    </r>
    <r>
      <rPr>
        <sz val="11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2"/>
        <scheme val="major"/>
      </rPr>
      <t>EVEN</t>
    </r>
    <r>
      <rPr>
        <sz val="11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2"/>
        <scheme val="major"/>
      </rPr>
      <t>NONE</t>
    </r>
  </si>
  <si>
    <r>
      <rPr>
        <b/>
        <sz val="11"/>
        <color theme="1"/>
        <rFont val="Calibri"/>
        <family val="2"/>
        <scheme val="major"/>
      </rPr>
      <t>Stop Bits (2):</t>
    </r>
    <r>
      <rPr>
        <sz val="11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2"/>
        <scheme val="major"/>
      </rPr>
      <t>STOP_1BIT</t>
    </r>
    <r>
      <rPr>
        <sz val="11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2"/>
        <scheme val="major"/>
      </rPr>
      <t>STOP_2BIT</t>
    </r>
  </si>
  <si>
    <r>
      <rPr>
        <b/>
        <sz val="11"/>
        <color theme="1"/>
        <rFont val="Calibri"/>
        <family val="2"/>
        <scheme val="major"/>
      </rPr>
      <t xml:space="preserve">Baud Rates (7): </t>
    </r>
    <r>
      <rPr>
        <sz val="11"/>
        <color theme="1"/>
        <rFont val="Calibri"/>
        <family val="2"/>
        <scheme val="major"/>
      </rPr>
      <t xml:space="preserve">2400, </t>
    </r>
    <r>
      <rPr>
        <sz val="10"/>
        <color theme="1"/>
        <rFont val="Calibri"/>
        <family val="2"/>
        <scheme val="major"/>
      </rPr>
      <t>4800</t>
    </r>
    <r>
      <rPr>
        <sz val="11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2"/>
        <scheme val="major"/>
      </rPr>
      <t>9600</t>
    </r>
    <r>
      <rPr>
        <sz val="11"/>
        <color theme="1"/>
        <rFont val="Calibri"/>
        <family val="2"/>
        <scheme val="major"/>
      </rPr>
      <t xml:space="preserve">, </t>
    </r>
    <r>
      <rPr>
        <sz val="10"/>
        <color theme="1"/>
        <rFont val="Calibri"/>
        <family val="2"/>
        <scheme val="major"/>
      </rPr>
      <t>19200</t>
    </r>
    <r>
      <rPr>
        <sz val="11"/>
        <color theme="1"/>
        <rFont val="Calibri"/>
        <family val="2"/>
        <scheme val="major"/>
      </rPr>
      <t xml:space="preserve">, 38400, 76800, </t>
    </r>
    <r>
      <rPr>
        <sz val="10"/>
        <color theme="1"/>
        <rFont val="Calibri"/>
        <family val="2"/>
        <scheme val="major"/>
      </rPr>
      <t>115200</t>
    </r>
  </si>
  <si>
    <r>
      <rPr>
        <b/>
        <sz val="11"/>
        <color theme="1"/>
        <rFont val="Calibri"/>
        <family val="2"/>
        <scheme val="major"/>
      </rPr>
      <t xml:space="preserve">Sampling Mode (2): </t>
    </r>
    <r>
      <rPr>
        <sz val="11"/>
        <color theme="1"/>
        <rFont val="Calibri"/>
        <family val="2"/>
        <scheme val="major"/>
      </rPr>
      <t>13x, 16x</t>
    </r>
  </si>
  <si>
    <t>Enable all interrupt =&gt; check interrupt =&gt; reset =&gt; check if interrupt is clear</t>
  </si>
  <si>
    <r>
      <t xml:space="preserve">1. Wait for reset and clock stable
2. Write random value to random reserved region from 0x020 to 0x3FF and readback
</t>
    </r>
    <r>
      <rPr>
        <b/>
        <sz val="11"/>
        <color theme="1"/>
        <rFont val="Calibri"/>
        <family val="2"/>
      </rPr>
      <t>Pass condition:</t>
    </r>
    <r>
      <rPr>
        <sz val="11"/>
        <color theme="1"/>
        <rFont val="Calibri"/>
      </rPr>
      <t xml:space="preserve"> Read value is 32'h0 and hresp=1.</t>
    </r>
  </si>
  <si>
    <t>uart_function_otf_test</t>
  </si>
  <si>
    <t>uart_interrupt_parity_test</t>
  </si>
  <si>
    <t>uart_multi_interrupt_test</t>
  </si>
  <si>
    <t>Task Name</t>
  </si>
  <si>
    <t>Start</t>
  </si>
  <si>
    <t>End</t>
  </si>
  <si>
    <t>Duration</t>
  </si>
  <si>
    <t>%done</t>
  </si>
  <si>
    <t>Stuck point</t>
  </si>
  <si>
    <t>Investigation</t>
  </si>
  <si>
    <t>Verification Plan</t>
  </si>
  <si>
    <t>Draw testbench structure</t>
  </si>
  <si>
    <t>Build testbench</t>
  </si>
  <si>
    <t>Build env</t>
  </si>
  <si>
    <t>Build scoreboard</t>
  </si>
  <si>
    <t>Create test scenario</t>
  </si>
  <si>
    <t>1Pass</t>
  </si>
  <si>
    <t>All Pass</t>
  </si>
  <si>
    <t>Implement functional coverage</t>
  </si>
  <si>
    <t>Total</t>
  </si>
  <si>
    <t>Completed</t>
  </si>
  <si>
    <r>
      <t xml:space="preserve">Data Width (4): </t>
    </r>
    <r>
      <rPr>
        <sz val="11"/>
        <color theme="1"/>
        <rFont val="Calibri"/>
        <family val="2"/>
        <scheme val="major"/>
      </rPr>
      <t>5b, 6b ,7b, 8b</t>
    </r>
  </si>
  <si>
    <t>Test all 336 valid combinations (*table below) (Baud x Width x Parity x Stopx Sampling) sequentially.</t>
  </si>
  <si>
    <t>4 Widths×3 Parities×2 Stop×7 Bauds x 2 Sampling x 4 Data =1344 combinations</t>
  </si>
  <si>
    <t>tx_fifo_test</t>
  </si>
  <si>
    <t>rx_fifo_test</t>
  </si>
  <si>
    <t>Medium</t>
  </si>
  <si>
    <t>Low</t>
  </si>
  <si>
    <t>State</t>
  </si>
  <si>
    <t xml:space="preserve"> Parrity mismatch</t>
  </si>
  <si>
    <t>When FIFO = 0, empty_status !=0
When FIFO = 16, full_status !=0</t>
  </si>
  <si>
    <t>Parrity bit not assert when transfer a parrity match frame</t>
  </si>
  <si>
    <t>Passed</t>
  </si>
  <si>
    <t xml:space="preserve">Read FIFO data out =&gt; check data
Enable bit Rx FIFO Empty check =&gt; check interrupt
</t>
  </si>
  <si>
    <t>Write data till full, then read data out =&gt; check data order is correct
Enable bit Rx FIFO Full check =&gt; check interrupt
continue to write data to fifo =&gt; check old data still keep or lost</t>
  </si>
  <si>
    <t xml:space="preserve">Let UART transfer data out =&gt; check data order is correct
Enable bit Tx FIFO Empty check =&gt; check interrupt
</t>
  </si>
  <si>
    <t>Write data till full, then let UART transfer data out =&gt; check data order is correct
Enable bit Tx FIFO Full check =&gt; check interrupt
continue to write data to fifo =&gt; check old data still keep or lost</t>
  </si>
  <si>
    <t>UART Corner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</si>
</sst>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444746"/>
      <name val="Calibri"/>
      <family val="2"/>
      <scheme val="major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4" borderId="2" xfId="0" applyFont="1" applyFill="1" applyBorder="1"/>
    <xf numFmtId="0" fontId="6" fillId="0" borderId="2" xfId="0" applyFont="1" applyBorder="1"/>
    <xf numFmtId="0" fontId="10" fillId="4" borderId="2" xfId="0" applyFont="1" applyFill="1" applyBorder="1"/>
    <xf numFmtId="0" fontId="10" fillId="0" borderId="2" xfId="0" applyFont="1" applyBorder="1"/>
    <xf numFmtId="0" fontId="10" fillId="4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 readingOrder="1"/>
    </xf>
    <xf numFmtId="0" fontId="12" fillId="5" borderId="2" xfId="0" applyFont="1" applyFill="1" applyBorder="1"/>
    <xf numFmtId="0" fontId="10" fillId="0" borderId="0" xfId="0" applyFont="1" applyAlignment="1">
      <alignment horizontal="left" vertical="center" wrapText="1" readingOrder="1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9" fontId="0" fillId="0" borderId="2" xfId="0" applyNumberFormat="1" applyBorder="1"/>
    <xf numFmtId="164" fontId="3" fillId="0" borderId="2" xfId="0" applyNumberFormat="1" applyFont="1" applyBorder="1"/>
    <xf numFmtId="0" fontId="2" fillId="0" borderId="0" xfId="0" applyFont="1"/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wrapText="1"/>
    </xf>
    <xf numFmtId="0" fontId="6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16" fillId="0" borderId="2" xfId="0" applyFont="1" applyBorder="1"/>
    <xf numFmtId="0" fontId="0" fillId="0" borderId="2" xfId="0" applyBorder="1" applyAlignment="1">
      <alignment horizontal="left" vertical="center"/>
    </xf>
    <xf numFmtId="0" fontId="2" fillId="0" borderId="2" xfId="0" applyFont="1" applyBorder="1"/>
    <xf numFmtId="0" fontId="5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164" fontId="1" fillId="0" borderId="2" xfId="0" applyNumberFormat="1" applyFont="1" applyBorder="1"/>
    <xf numFmtId="0" fontId="13" fillId="5" borderId="2" xfId="0" applyFont="1" applyFill="1" applyBorder="1"/>
    <xf numFmtId="0" fontId="11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vertical="center" wrapText="1" readingOrder="1"/>
    </xf>
    <xf numFmtId="0" fontId="15" fillId="5" borderId="5" xfId="0" applyFont="1" applyFill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7">
    <dxf>
      <font>
        <color theme="9" tint="-0.24994659260841701"/>
      </font>
      <fill>
        <patternFill>
          <bgColor theme="9" tint="0.39994506668294322"/>
        </patternFill>
      </fill>
    </dxf>
    <dxf>
      <font>
        <color theme="5" tint="0.39994506668294322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C7CE"/>
      <color rgb="FF9C0006"/>
      <color rgb="FFC6EFCE"/>
      <color rgb="FF0061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</xdr:row>
          <xdr:rowOff>180975</xdr:rowOff>
        </xdr:from>
        <xdr:to>
          <xdr:col>16</xdr:col>
          <xdr:colOff>38100</xdr:colOff>
          <xdr:row>29</xdr:row>
          <xdr:rowOff>85725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161925</xdr:rowOff>
    </xdr:from>
    <xdr:to>
      <xdr:col>13</xdr:col>
      <xdr:colOff>391601</xdr:colOff>
      <xdr:row>27</xdr:row>
      <xdr:rowOff>95959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1925"/>
          <a:ext cx="7706801" cy="5077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28575</xdr:rowOff>
    </xdr:from>
    <xdr:to>
      <xdr:col>11</xdr:col>
      <xdr:colOff>343799</xdr:colOff>
      <xdr:row>44</xdr:row>
      <xdr:rowOff>162342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553075"/>
          <a:ext cx="6439799" cy="2991267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47</xdr:row>
      <xdr:rowOff>19050</xdr:rowOff>
    </xdr:from>
    <xdr:to>
      <xdr:col>14</xdr:col>
      <xdr:colOff>153529</xdr:colOff>
      <xdr:row>90</xdr:row>
      <xdr:rowOff>86878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0075" y="8972550"/>
          <a:ext cx="8087854" cy="8259328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86</xdr:row>
      <xdr:rowOff>9525</xdr:rowOff>
    </xdr:from>
    <xdr:to>
      <xdr:col>14</xdr:col>
      <xdr:colOff>77318</xdr:colOff>
      <xdr:row>130</xdr:row>
      <xdr:rowOff>48800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16392525"/>
          <a:ext cx="8011643" cy="842127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86</xdr:row>
      <xdr:rowOff>9525</xdr:rowOff>
    </xdr:from>
    <xdr:to>
      <xdr:col>12</xdr:col>
      <xdr:colOff>534412</xdr:colOff>
      <xdr:row>93</xdr:row>
      <xdr:rowOff>76395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075" y="16392525"/>
          <a:ext cx="7249537" cy="1400370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129</xdr:row>
      <xdr:rowOff>85725</xdr:rowOff>
    </xdr:from>
    <xdr:to>
      <xdr:col>12</xdr:col>
      <xdr:colOff>534412</xdr:colOff>
      <xdr:row>136</xdr:row>
      <xdr:rowOff>152595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075" y="24660225"/>
          <a:ext cx="7249537" cy="1400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zoomScaleNormal="100" workbookViewId="0">
      <selection activeCell="H15" sqref="H15"/>
    </sheetView>
  </sheetViews>
  <sheetFormatPr defaultColWidth="14.42578125" defaultRowHeight="15" x14ac:dyDescent="0.25"/>
  <cols>
    <col min="1" max="1" width="7.5703125" style="2" bestFit="1" customWidth="1"/>
    <col min="2" max="2" width="23.140625" style="10" bestFit="1" customWidth="1"/>
    <col min="3" max="3" width="81.7109375" style="2" customWidth="1"/>
    <col min="4" max="4" width="33.7109375" style="2" customWidth="1"/>
    <col min="5" max="5" width="10.140625" style="2" customWidth="1"/>
    <col min="6" max="6" width="11.28515625" style="2" customWidth="1"/>
    <col min="7" max="7" width="7.42578125" style="2" customWidth="1"/>
    <col min="8" max="9" width="18.42578125" style="2" customWidth="1"/>
    <col min="10" max="10" width="23.5703125" style="2" customWidth="1"/>
    <col min="11" max="11" width="10.140625" style="2" bestFit="1" customWidth="1"/>
    <col min="12" max="12" width="7.7109375" style="2" bestFit="1" customWidth="1"/>
    <col min="13" max="28" width="8.7109375" style="2" customWidth="1"/>
    <col min="29" max="16384" width="14.42578125" style="2"/>
  </cols>
  <sheetData>
    <row r="1" spans="1:12" ht="30" x14ac:dyDescent="0.25">
      <c r="A1" s="1" t="s">
        <v>0</v>
      </c>
      <c r="B1" s="9"/>
    </row>
    <row r="2" spans="1:12" ht="30" x14ac:dyDescent="0.25">
      <c r="A2" s="1" t="s">
        <v>1</v>
      </c>
      <c r="B2" s="9"/>
    </row>
    <row r="3" spans="1:12" ht="30" x14ac:dyDescent="0.25">
      <c r="A3" s="1" t="s">
        <v>2</v>
      </c>
      <c r="B3" s="9"/>
    </row>
    <row r="4" spans="1:12" ht="30" x14ac:dyDescent="0.25">
      <c r="A4" s="1" t="s">
        <v>3</v>
      </c>
      <c r="B4" s="9"/>
    </row>
    <row r="7" spans="1:12" x14ac:dyDescent="0.25">
      <c r="A7" s="21" t="s">
        <v>4</v>
      </c>
      <c r="B7" s="22" t="s">
        <v>5</v>
      </c>
      <c r="C7" s="21" t="s">
        <v>6</v>
      </c>
      <c r="D7" s="21" t="s">
        <v>7</v>
      </c>
      <c r="E7" s="21" t="s">
        <v>8</v>
      </c>
      <c r="F7" s="21" t="s">
        <v>9</v>
      </c>
      <c r="G7" s="21" t="s">
        <v>10</v>
      </c>
      <c r="H7" s="21" t="s">
        <v>11</v>
      </c>
      <c r="I7" s="21" t="s">
        <v>94</v>
      </c>
      <c r="J7" s="21"/>
      <c r="K7" s="21" t="s">
        <v>12</v>
      </c>
      <c r="L7" s="21" t="s">
        <v>13</v>
      </c>
    </row>
    <row r="8" spans="1:12" x14ac:dyDescent="0.25">
      <c r="A8" s="23">
        <v>1</v>
      </c>
      <c r="B8" s="24" t="s">
        <v>14</v>
      </c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ht="45" x14ac:dyDescent="0.25">
      <c r="A9" s="25">
        <v>1.1000000000000001</v>
      </c>
      <c r="B9" s="26" t="s">
        <v>15</v>
      </c>
      <c r="C9" s="25" t="s">
        <v>20</v>
      </c>
      <c r="D9" s="27" t="s">
        <v>26</v>
      </c>
      <c r="E9" s="25" t="s">
        <v>16</v>
      </c>
      <c r="F9" s="25" t="s">
        <v>17</v>
      </c>
      <c r="G9" s="25"/>
      <c r="H9" s="25" t="s">
        <v>86</v>
      </c>
      <c r="I9" s="25" t="s">
        <v>98</v>
      </c>
      <c r="J9" s="25"/>
      <c r="K9" s="25"/>
      <c r="L9" s="25"/>
    </row>
    <row r="10" spans="1:12" ht="60" x14ac:dyDescent="0.25">
      <c r="A10" s="25">
        <v>1.2</v>
      </c>
      <c r="B10" s="26" t="s">
        <v>18</v>
      </c>
      <c r="C10" s="25" t="s">
        <v>21</v>
      </c>
      <c r="D10" s="27" t="s">
        <v>25</v>
      </c>
      <c r="E10" s="25" t="s">
        <v>16</v>
      </c>
      <c r="F10" s="25" t="s">
        <v>17</v>
      </c>
      <c r="G10" s="25"/>
      <c r="H10" s="25" t="s">
        <v>86</v>
      </c>
      <c r="I10" s="25" t="s">
        <v>98</v>
      </c>
      <c r="J10" s="25"/>
      <c r="K10" s="25"/>
      <c r="L10" s="25"/>
    </row>
    <row r="11" spans="1:12" ht="75" x14ac:dyDescent="0.25">
      <c r="A11" s="25">
        <v>1.3</v>
      </c>
      <c r="B11" s="26" t="s">
        <v>19</v>
      </c>
      <c r="C11" s="27" t="s">
        <v>22</v>
      </c>
      <c r="D11" s="27" t="s">
        <v>27</v>
      </c>
      <c r="E11" s="25" t="s">
        <v>16</v>
      </c>
      <c r="F11" s="25" t="s">
        <v>17</v>
      </c>
      <c r="G11" s="25"/>
      <c r="H11" s="25" t="s">
        <v>86</v>
      </c>
      <c r="I11" s="25" t="s">
        <v>98</v>
      </c>
      <c r="J11" s="25"/>
      <c r="K11" s="25"/>
      <c r="L11" s="25"/>
    </row>
    <row r="12" spans="1:12" x14ac:dyDescent="0.25">
      <c r="A12" s="23">
        <v>2</v>
      </c>
      <c r="B12" s="24" t="s">
        <v>28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45" x14ac:dyDescent="0.25">
      <c r="A13" s="25">
        <v>1.4</v>
      </c>
      <c r="B13" s="26" t="s">
        <v>23</v>
      </c>
      <c r="C13" s="27" t="s">
        <v>65</v>
      </c>
      <c r="D13" s="27" t="s">
        <v>24</v>
      </c>
      <c r="E13" s="25" t="s">
        <v>16</v>
      </c>
      <c r="F13" s="25" t="s">
        <v>17</v>
      </c>
      <c r="G13" s="25"/>
      <c r="H13" s="25" t="s">
        <v>86</v>
      </c>
      <c r="I13" s="25" t="s">
        <v>98</v>
      </c>
      <c r="J13" s="25"/>
      <c r="K13" s="25"/>
      <c r="L13" s="25"/>
    </row>
    <row r="14" spans="1:12" customFormat="1" x14ac:dyDescent="0.25">
      <c r="A14" s="5">
        <v>2</v>
      </c>
      <c r="B14" s="7" t="s">
        <v>29</v>
      </c>
      <c r="C14" s="7"/>
      <c r="D14" s="7"/>
      <c r="E14" s="3"/>
      <c r="F14" s="3"/>
      <c r="G14" s="3"/>
      <c r="H14" s="3"/>
      <c r="I14" s="3"/>
      <c r="J14" s="3"/>
      <c r="K14" s="3"/>
      <c r="L14" s="3"/>
    </row>
    <row r="15" spans="1:12" customFormat="1" ht="30" x14ac:dyDescent="0.25">
      <c r="A15" s="6"/>
      <c r="B15" s="8" t="s">
        <v>30</v>
      </c>
      <c r="C15" s="8" t="s">
        <v>88</v>
      </c>
      <c r="D15" s="8" t="s">
        <v>31</v>
      </c>
      <c r="E15" s="25" t="s">
        <v>16</v>
      </c>
      <c r="F15" s="25" t="s">
        <v>17</v>
      </c>
      <c r="G15" s="4"/>
      <c r="H15" s="25" t="s">
        <v>86</v>
      </c>
      <c r="I15" s="25" t="s">
        <v>98</v>
      </c>
      <c r="J15" s="25" t="s">
        <v>95</v>
      </c>
      <c r="K15" s="4"/>
      <c r="L15" s="4"/>
    </row>
    <row r="16" spans="1:12" customFormat="1" x14ac:dyDescent="0.25">
      <c r="A16" s="6"/>
      <c r="B16" s="29"/>
      <c r="C16" s="16"/>
      <c r="D16" s="8" t="s">
        <v>32</v>
      </c>
      <c r="E16" s="25" t="s">
        <v>16</v>
      </c>
      <c r="F16" s="25" t="s">
        <v>17</v>
      </c>
      <c r="G16" s="4"/>
      <c r="H16" s="25" t="s">
        <v>86</v>
      </c>
      <c r="I16" s="25" t="s">
        <v>98</v>
      </c>
      <c r="J16" s="25" t="s">
        <v>95</v>
      </c>
      <c r="K16" s="4"/>
      <c r="L16" s="4"/>
    </row>
    <row r="17" spans="1:12" customFormat="1" x14ac:dyDescent="0.25">
      <c r="A17" s="6"/>
      <c r="B17" s="8" t="s">
        <v>33</v>
      </c>
      <c r="C17" s="8" t="s">
        <v>34</v>
      </c>
      <c r="D17" s="8" t="s">
        <v>35</v>
      </c>
      <c r="E17" s="25" t="s">
        <v>92</v>
      </c>
      <c r="F17" s="25" t="s">
        <v>17</v>
      </c>
      <c r="G17" s="4"/>
      <c r="H17" s="25" t="s">
        <v>86</v>
      </c>
      <c r="I17" s="25" t="s">
        <v>98</v>
      </c>
      <c r="J17" s="25"/>
      <c r="K17" s="4"/>
      <c r="L17" s="4"/>
    </row>
    <row r="18" spans="1:12" customFormat="1" x14ac:dyDescent="0.25">
      <c r="A18" s="6"/>
      <c r="B18" s="8"/>
      <c r="C18" s="8"/>
      <c r="D18" s="8" t="s">
        <v>36</v>
      </c>
      <c r="E18" s="25" t="s">
        <v>92</v>
      </c>
      <c r="F18" s="25" t="s">
        <v>17</v>
      </c>
      <c r="G18" s="4"/>
      <c r="H18" s="25" t="s">
        <v>86</v>
      </c>
      <c r="I18" s="25" t="s">
        <v>98</v>
      </c>
      <c r="J18" s="25"/>
      <c r="K18" s="4"/>
      <c r="L18" s="4"/>
    </row>
    <row r="19" spans="1:12" customFormat="1" x14ac:dyDescent="0.25">
      <c r="A19" s="5">
        <v>3</v>
      </c>
      <c r="B19" s="7" t="s">
        <v>37</v>
      </c>
      <c r="C19" s="7"/>
      <c r="D19" s="7"/>
      <c r="E19" s="3"/>
      <c r="F19" s="3"/>
      <c r="G19" s="3"/>
      <c r="H19" s="3"/>
      <c r="I19" s="3"/>
      <c r="J19" s="3"/>
      <c r="K19" s="3"/>
      <c r="L19" s="3"/>
    </row>
    <row r="20" spans="1:12" customFormat="1" x14ac:dyDescent="0.25">
      <c r="A20" s="6"/>
      <c r="B20" s="8" t="s">
        <v>38</v>
      </c>
      <c r="C20" s="8" t="s">
        <v>39</v>
      </c>
      <c r="D20" s="8" t="s">
        <v>40</v>
      </c>
      <c r="E20" s="25" t="s">
        <v>16</v>
      </c>
      <c r="F20" s="25" t="s">
        <v>17</v>
      </c>
      <c r="G20" s="4"/>
      <c r="H20" s="25" t="s">
        <v>86</v>
      </c>
      <c r="I20" s="25" t="s">
        <v>98</v>
      </c>
      <c r="J20" s="25" t="s">
        <v>95</v>
      </c>
      <c r="K20" s="4"/>
      <c r="L20" s="4"/>
    </row>
    <row r="21" spans="1:12" customFormat="1" x14ac:dyDescent="0.25">
      <c r="A21" s="6"/>
      <c r="B21" s="8" t="s">
        <v>41</v>
      </c>
      <c r="C21" s="8" t="s">
        <v>42</v>
      </c>
      <c r="D21" s="8" t="s">
        <v>43</v>
      </c>
      <c r="E21" s="25" t="s">
        <v>92</v>
      </c>
      <c r="F21" s="25" t="s">
        <v>17</v>
      </c>
      <c r="G21" s="4"/>
      <c r="H21" s="25" t="s">
        <v>86</v>
      </c>
      <c r="I21" s="25" t="s">
        <v>98</v>
      </c>
      <c r="J21" s="25" t="s">
        <v>95</v>
      </c>
      <c r="K21" s="4"/>
      <c r="L21" s="4"/>
    </row>
    <row r="22" spans="1:12" customFormat="1" x14ac:dyDescent="0.25">
      <c r="A22" s="5">
        <v>4</v>
      </c>
      <c r="B22" s="7" t="s">
        <v>103</v>
      </c>
      <c r="C22" s="7"/>
      <c r="D22" s="7"/>
      <c r="E22" s="3"/>
      <c r="F22" s="3"/>
      <c r="G22" s="3"/>
      <c r="H22" s="3"/>
      <c r="I22" s="3"/>
      <c r="J22" s="3"/>
      <c r="K22" s="3"/>
      <c r="L22" s="3"/>
    </row>
    <row r="23" spans="1:12" customFormat="1" x14ac:dyDescent="0.25">
      <c r="A23" s="6"/>
      <c r="B23" s="8" t="s">
        <v>44</v>
      </c>
      <c r="C23" s="8" t="s">
        <v>56</v>
      </c>
      <c r="D23" s="8" t="s">
        <v>45</v>
      </c>
      <c r="E23" s="4" t="s">
        <v>93</v>
      </c>
      <c r="F23" s="25" t="s">
        <v>17</v>
      </c>
      <c r="G23" s="4"/>
      <c r="H23" s="25" t="s">
        <v>86</v>
      </c>
      <c r="I23" s="25" t="s">
        <v>98</v>
      </c>
      <c r="J23" s="30"/>
      <c r="K23" s="4"/>
      <c r="L23" s="4"/>
    </row>
    <row r="24" spans="1:12" customFormat="1" ht="30" x14ac:dyDescent="0.25">
      <c r="A24" s="6"/>
      <c r="B24" s="8" t="s">
        <v>55</v>
      </c>
      <c r="C24" s="8" t="s">
        <v>57</v>
      </c>
      <c r="D24" s="8" t="s">
        <v>66</v>
      </c>
      <c r="E24" s="25" t="s">
        <v>92</v>
      </c>
      <c r="F24" s="25" t="s">
        <v>17</v>
      </c>
      <c r="G24" s="4"/>
      <c r="H24" s="25" t="s">
        <v>86</v>
      </c>
      <c r="I24" s="25" t="s">
        <v>98</v>
      </c>
      <c r="J24" s="25"/>
      <c r="K24" s="4"/>
      <c r="L24" s="4"/>
    </row>
    <row r="25" spans="1:12" customFormat="1" x14ac:dyDescent="0.25">
      <c r="A25" s="5">
        <v>5</v>
      </c>
      <c r="B25" s="7" t="s">
        <v>46</v>
      </c>
      <c r="C25" s="7"/>
      <c r="D25" s="7"/>
      <c r="E25" s="3"/>
      <c r="F25" s="3"/>
      <c r="G25" s="3"/>
      <c r="H25" s="3"/>
      <c r="I25" s="3"/>
      <c r="J25" s="3"/>
      <c r="K25" s="3"/>
      <c r="L25" s="3"/>
    </row>
    <row r="26" spans="1:12" customFormat="1" ht="60" x14ac:dyDescent="0.25">
      <c r="A26" s="6" t="s">
        <v>47</v>
      </c>
      <c r="B26" s="8" t="s">
        <v>50</v>
      </c>
      <c r="C26" s="8" t="s">
        <v>101</v>
      </c>
      <c r="D26" s="40" t="s">
        <v>90</v>
      </c>
      <c r="E26" s="25" t="s">
        <v>16</v>
      </c>
      <c r="F26" s="25" t="s">
        <v>17</v>
      </c>
      <c r="G26" s="4"/>
      <c r="H26" s="25" t="s">
        <v>86</v>
      </c>
      <c r="I26" s="25" t="s">
        <v>98</v>
      </c>
      <c r="J26" s="25" t="s">
        <v>96</v>
      </c>
      <c r="K26" s="4"/>
      <c r="L26" s="4"/>
    </row>
    <row r="27" spans="1:12" customFormat="1" ht="60" x14ac:dyDescent="0.25">
      <c r="A27" s="6"/>
      <c r="B27" s="31" t="s">
        <v>51</v>
      </c>
      <c r="C27" s="12" t="s">
        <v>102</v>
      </c>
      <c r="D27" s="41"/>
      <c r="E27" s="25" t="s">
        <v>16</v>
      </c>
      <c r="F27" s="25" t="s">
        <v>17</v>
      </c>
      <c r="G27" s="4"/>
      <c r="H27" s="25" t="s">
        <v>86</v>
      </c>
      <c r="I27" s="25" t="s">
        <v>98</v>
      </c>
      <c r="J27" s="25" t="s">
        <v>96</v>
      </c>
      <c r="K27" s="4"/>
      <c r="L27" s="4"/>
    </row>
    <row r="28" spans="1:12" customFormat="1" ht="60" x14ac:dyDescent="0.25">
      <c r="A28" s="6"/>
      <c r="B28" s="8" t="s">
        <v>52</v>
      </c>
      <c r="C28" s="8" t="s">
        <v>99</v>
      </c>
      <c r="D28" s="40" t="s">
        <v>91</v>
      </c>
      <c r="E28" s="25" t="s">
        <v>16</v>
      </c>
      <c r="F28" s="25" t="s">
        <v>17</v>
      </c>
      <c r="G28" s="4"/>
      <c r="H28" s="25" t="s">
        <v>86</v>
      </c>
      <c r="I28" s="25" t="s">
        <v>98</v>
      </c>
      <c r="J28" s="25" t="s">
        <v>96</v>
      </c>
      <c r="K28" s="4"/>
      <c r="L28" s="4"/>
    </row>
    <row r="29" spans="1:12" customFormat="1" ht="60" x14ac:dyDescent="0.25">
      <c r="A29" s="6"/>
      <c r="B29" s="31" t="s">
        <v>53</v>
      </c>
      <c r="C29" s="12" t="s">
        <v>100</v>
      </c>
      <c r="D29" s="41"/>
      <c r="E29" s="25" t="s">
        <v>16</v>
      </c>
      <c r="F29" s="25" t="s">
        <v>17</v>
      </c>
      <c r="G29" s="4"/>
      <c r="H29" s="25" t="s">
        <v>86</v>
      </c>
      <c r="I29" s="25" t="s">
        <v>98</v>
      </c>
      <c r="J29" s="25" t="s">
        <v>96</v>
      </c>
      <c r="K29" s="4"/>
      <c r="L29" s="4"/>
    </row>
    <row r="30" spans="1:12" customFormat="1" x14ac:dyDescent="0.25">
      <c r="A30" s="5">
        <v>6</v>
      </c>
      <c r="B30" s="7" t="s">
        <v>48</v>
      </c>
      <c r="C30" s="7"/>
      <c r="D30" s="7"/>
      <c r="E30" s="3"/>
      <c r="F30" s="3"/>
      <c r="G30" s="3"/>
      <c r="H30" s="3"/>
      <c r="I30" s="3"/>
      <c r="J30" s="3"/>
      <c r="K30" s="3"/>
      <c r="L30" s="3"/>
    </row>
    <row r="31" spans="1:12" customFormat="1" ht="45" x14ac:dyDescent="0.25">
      <c r="A31" s="6" t="s">
        <v>47</v>
      </c>
      <c r="B31" s="8" t="s">
        <v>49</v>
      </c>
      <c r="C31" s="8" t="s">
        <v>58</v>
      </c>
      <c r="D31" s="8" t="s">
        <v>67</v>
      </c>
      <c r="E31" s="25" t="s">
        <v>16</v>
      </c>
      <c r="F31" s="25" t="s">
        <v>17</v>
      </c>
      <c r="G31" s="4"/>
      <c r="H31" s="25" t="s">
        <v>86</v>
      </c>
      <c r="I31" s="25" t="s">
        <v>98</v>
      </c>
      <c r="J31" s="25" t="s">
        <v>97</v>
      </c>
      <c r="K31" s="4"/>
      <c r="L31" s="4"/>
    </row>
    <row r="32" spans="1:12" x14ac:dyDescent="0.25">
      <c r="A32" s="32"/>
      <c r="B32" s="31" t="s">
        <v>54</v>
      </c>
      <c r="C32" s="33" t="s">
        <v>64</v>
      </c>
      <c r="D32" s="8" t="s">
        <v>68</v>
      </c>
      <c r="E32" s="25" t="s">
        <v>92</v>
      </c>
      <c r="F32" s="25" t="s">
        <v>17</v>
      </c>
      <c r="G32" s="32"/>
      <c r="H32" s="25" t="s">
        <v>86</v>
      </c>
      <c r="I32" s="25" t="s">
        <v>98</v>
      </c>
      <c r="J32" s="28"/>
      <c r="K32" s="32"/>
      <c r="L32" s="32"/>
    </row>
    <row r="33" spans="1:12" customFormat="1" x14ac:dyDescent="0.25">
      <c r="A33" s="6"/>
      <c r="B33" s="8"/>
      <c r="C33" s="34"/>
      <c r="D33" s="8"/>
      <c r="E33" s="4"/>
      <c r="F33" s="4"/>
      <c r="G33" s="4"/>
      <c r="H33" s="30"/>
      <c r="I33" s="30"/>
      <c r="J33" s="30"/>
      <c r="K33" s="4"/>
      <c r="L33" s="4"/>
    </row>
    <row r="34" spans="1:12" x14ac:dyDescent="0.25">
      <c r="B34" s="11"/>
      <c r="H34" s="20"/>
      <c r="I34" s="20"/>
      <c r="J34" s="20"/>
    </row>
    <row r="35" spans="1:12" x14ac:dyDescent="0.25">
      <c r="B35" s="14"/>
    </row>
    <row r="36" spans="1:12" x14ac:dyDescent="0.25">
      <c r="B36" s="11"/>
    </row>
    <row r="37" spans="1:12" ht="15" customHeight="1" x14ac:dyDescent="0.25">
      <c r="B37" s="11"/>
      <c r="C37" s="37" t="s">
        <v>59</v>
      </c>
      <c r="D37" s="37"/>
    </row>
    <row r="38" spans="1:12" ht="15" customHeight="1" x14ac:dyDescent="0.25">
      <c r="C38" s="13" t="s">
        <v>60</v>
      </c>
      <c r="D38" s="38" t="s">
        <v>89</v>
      </c>
    </row>
    <row r="39" spans="1:12" x14ac:dyDescent="0.25">
      <c r="C39" s="13" t="s">
        <v>61</v>
      </c>
      <c r="D39" s="39"/>
    </row>
    <row r="40" spans="1:12" x14ac:dyDescent="0.25">
      <c r="C40" s="13" t="s">
        <v>62</v>
      </c>
      <c r="D40" s="39"/>
    </row>
    <row r="41" spans="1:12" x14ac:dyDescent="0.25">
      <c r="C41" s="13" t="s">
        <v>63</v>
      </c>
      <c r="D41" s="39"/>
    </row>
    <row r="42" spans="1:12" x14ac:dyDescent="0.25">
      <c r="C42" s="36" t="s">
        <v>87</v>
      </c>
      <c r="D42" s="39"/>
    </row>
    <row r="45" spans="1:12" ht="15" customHeight="1" x14ac:dyDescent="0.25"/>
  </sheetData>
  <mergeCells count="4">
    <mergeCell ref="C37:D37"/>
    <mergeCell ref="D38:D42"/>
    <mergeCell ref="D28:D29"/>
    <mergeCell ref="D26:D27"/>
  </mergeCells>
  <conditionalFormatting sqref="H1:H1048576">
    <cfRule type="containsText" dxfId="6" priority="7" operator="containsText" text="Progress">
      <formula>NOT(ISERROR(SEARCH("Progress",H1)))</formula>
    </cfRule>
    <cfRule type="containsText" dxfId="5" priority="8" operator="containsText" text="Not Started">
      <formula>NOT(ISERROR(SEARCH("Not Started",H1)))</formula>
    </cfRule>
    <cfRule type="containsText" dxfId="4" priority="9" operator="containsText" text="Completed">
      <formula>NOT(ISERROR(SEARCH("Completed",H1)))</formula>
    </cfRule>
  </conditionalFormatting>
  <conditionalFormatting sqref="I1:I1048576">
    <cfRule type="containsText" dxfId="3" priority="12" operator="containsText" text="Failed">
      <formula>NOT(ISERROR(SEARCH("Failed",I1)))</formula>
    </cfRule>
    <cfRule type="containsText" dxfId="2" priority="13" operator="containsText" text="Passed">
      <formula>NOT(ISERROR(SEARCH("Passed",I1)))</formula>
    </cfRule>
  </conditionalFormatting>
  <conditionalFormatting sqref="J1:J1048576">
    <cfRule type="expression" dxfId="1" priority="11">
      <formula>$I1="Pass"</formula>
    </cfRule>
  </conditionalFormatting>
  <conditionalFormatting sqref="J9">
    <cfRule type="expression" dxfId="0" priority="10">
      <formula>$I9="Pass"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742B-B10B-48E2-87F9-525AD7DCB85C}">
  <dimension ref="B3:G15"/>
  <sheetViews>
    <sheetView zoomScale="130" zoomScaleNormal="130" workbookViewId="0">
      <selection activeCell="F18" sqref="F18"/>
    </sheetView>
  </sheetViews>
  <sheetFormatPr defaultRowHeight="15" x14ac:dyDescent="0.25"/>
  <cols>
    <col min="2" max="2" width="29.42578125" customWidth="1"/>
    <col min="3" max="4" width="17" style="15" customWidth="1"/>
    <col min="7" max="7" width="11.28515625" customWidth="1"/>
  </cols>
  <sheetData>
    <row r="3" spans="2:7" x14ac:dyDescent="0.25">
      <c r="B3" s="42" t="s">
        <v>69</v>
      </c>
      <c r="C3" s="44" t="s">
        <v>70</v>
      </c>
      <c r="D3" s="44" t="s">
        <v>71</v>
      </c>
      <c r="E3" s="42" t="s">
        <v>72</v>
      </c>
      <c r="F3" s="42"/>
      <c r="G3" s="42"/>
    </row>
    <row r="4" spans="2:7" x14ac:dyDescent="0.25">
      <c r="B4" s="43"/>
      <c r="C4" s="45"/>
      <c r="D4" s="45"/>
      <c r="E4" s="43"/>
      <c r="F4" s="43"/>
      <c r="G4" s="43"/>
    </row>
    <row r="5" spans="2:7" x14ac:dyDescent="0.25">
      <c r="B5" s="16" t="s">
        <v>75</v>
      </c>
      <c r="C5" s="17">
        <v>46079</v>
      </c>
      <c r="D5" s="17">
        <v>46080</v>
      </c>
      <c r="E5" s="16">
        <v>2</v>
      </c>
      <c r="F5" s="16" t="s">
        <v>73</v>
      </c>
      <c r="G5" s="16" t="s">
        <v>74</v>
      </c>
    </row>
    <row r="6" spans="2:7" x14ac:dyDescent="0.25">
      <c r="B6" s="16" t="s">
        <v>76</v>
      </c>
      <c r="C6" s="17">
        <v>46081</v>
      </c>
      <c r="D6" s="17">
        <v>46176</v>
      </c>
      <c r="E6" s="16">
        <v>7</v>
      </c>
      <c r="F6" s="18">
        <v>1</v>
      </c>
      <c r="G6" s="16"/>
    </row>
    <row r="7" spans="2:7" x14ac:dyDescent="0.25">
      <c r="B7" s="16" t="s">
        <v>77</v>
      </c>
      <c r="C7" s="17">
        <v>46206</v>
      </c>
      <c r="D7" s="17">
        <v>46268</v>
      </c>
      <c r="E7" s="16">
        <v>3</v>
      </c>
      <c r="F7" s="18">
        <v>1</v>
      </c>
      <c r="G7" s="16"/>
    </row>
    <row r="8" spans="2:7" x14ac:dyDescent="0.25">
      <c r="B8" s="16" t="s">
        <v>78</v>
      </c>
      <c r="C8" s="17">
        <v>46298</v>
      </c>
      <c r="D8" s="17">
        <v>46359</v>
      </c>
      <c r="E8" s="16">
        <v>3</v>
      </c>
      <c r="F8" s="18">
        <v>1</v>
      </c>
      <c r="G8" s="16"/>
    </row>
    <row r="9" spans="2:7" x14ac:dyDescent="0.25">
      <c r="B9" s="16" t="s">
        <v>79</v>
      </c>
      <c r="C9" s="17">
        <v>46094</v>
      </c>
      <c r="D9" s="17">
        <v>46100</v>
      </c>
      <c r="E9" s="16">
        <v>7</v>
      </c>
      <c r="F9" s="18">
        <v>1</v>
      </c>
      <c r="G9" s="16"/>
    </row>
    <row r="10" spans="2:7" x14ac:dyDescent="0.25">
      <c r="B10" s="16" t="s">
        <v>80</v>
      </c>
      <c r="C10" s="17">
        <v>46101</v>
      </c>
      <c r="D10" s="17">
        <v>46103</v>
      </c>
      <c r="E10" s="16">
        <v>3</v>
      </c>
      <c r="F10" s="18">
        <v>1</v>
      </c>
      <c r="G10" s="16"/>
    </row>
    <row r="11" spans="2:7" x14ac:dyDescent="0.25">
      <c r="B11" s="16" t="s">
        <v>81</v>
      </c>
      <c r="C11" s="17">
        <v>46104</v>
      </c>
      <c r="D11" s="17">
        <v>46106</v>
      </c>
      <c r="E11" s="16">
        <v>3</v>
      </c>
      <c r="F11" s="18">
        <v>1</v>
      </c>
      <c r="G11" s="16"/>
    </row>
    <row r="12" spans="2:7" x14ac:dyDescent="0.25">
      <c r="B12" s="16" t="s">
        <v>82</v>
      </c>
      <c r="C12" s="17">
        <v>46107</v>
      </c>
      <c r="D12" s="17">
        <v>46110</v>
      </c>
      <c r="E12" s="16">
        <v>3</v>
      </c>
      <c r="F12" s="18">
        <v>1</v>
      </c>
      <c r="G12" s="16"/>
    </row>
    <row r="13" spans="2:7" x14ac:dyDescent="0.25">
      <c r="B13" s="16" t="s">
        <v>83</v>
      </c>
      <c r="C13" s="17">
        <v>46111</v>
      </c>
      <c r="D13" s="17">
        <v>46120</v>
      </c>
      <c r="E13" s="16">
        <v>10</v>
      </c>
      <c r="F13" s="18">
        <v>1</v>
      </c>
      <c r="G13" s="16"/>
    </row>
    <row r="14" spans="2:7" x14ac:dyDescent="0.25">
      <c r="B14" s="16" t="s">
        <v>84</v>
      </c>
      <c r="C14" s="35">
        <v>46121</v>
      </c>
      <c r="D14" s="19">
        <v>46124</v>
      </c>
      <c r="E14" s="16">
        <v>4</v>
      </c>
      <c r="F14" s="18">
        <v>1</v>
      </c>
      <c r="G14" s="16"/>
    </row>
    <row r="15" spans="2:7" x14ac:dyDescent="0.25">
      <c r="B15" s="16" t="s">
        <v>85</v>
      </c>
      <c r="C15" s="17"/>
      <c r="D15" s="17"/>
      <c r="E15" s="16">
        <f>SUM(E5:E14)</f>
        <v>45</v>
      </c>
      <c r="F15" s="16"/>
      <c r="G15" s="16"/>
    </row>
  </sheetData>
  <mergeCells count="5">
    <mergeCell ref="B3:B4"/>
    <mergeCell ref="C3:C4"/>
    <mergeCell ref="D3:D4"/>
    <mergeCell ref="E3:E4"/>
    <mergeCell ref="F3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B26-AA6F-4408-9A1A-6D9B6FBE7582}">
  <dimension ref="A1"/>
  <sheetViews>
    <sheetView workbookViewId="0">
      <selection activeCell="G37" sqref="G37"/>
    </sheetView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r:id="rId4">
            <anchor moveWithCells="1">
              <from>
                <xdr:col>1</xdr:col>
                <xdr:colOff>38100</xdr:colOff>
                <xdr:row>1</xdr:row>
                <xdr:rowOff>180975</xdr:rowOff>
              </from>
              <to>
                <xdr:col>16</xdr:col>
                <xdr:colOff>38100</xdr:colOff>
                <xdr:row>29</xdr:row>
                <xdr:rowOff>85725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BD1F-81AC-4636-860C-50175997FE64}">
  <dimension ref="A1"/>
  <sheetViews>
    <sheetView tabSelected="1" topLeftCell="A62" workbookViewId="0">
      <selection activeCell="P100" sqref="P10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Vplan</vt:lpstr>
      <vt:lpstr>Schedule</vt:lpstr>
      <vt:lpstr>Env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HuyNguyen</dc:creator>
  <cp:lastModifiedBy>Thanh dep trai</cp:lastModifiedBy>
  <dcterms:created xsi:type="dcterms:W3CDTF">2015-06-05T18:17:20Z</dcterms:created>
  <dcterms:modified xsi:type="dcterms:W3CDTF">2026-04-26T09:58:43Z</dcterms:modified>
</cp:coreProperties>
</file>